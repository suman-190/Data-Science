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🚀 Start here" sheetId="1" r:id="rId4"/>
    <sheet state="visible" name="🔑 Solution" sheetId="2" r:id="rId5"/>
  </sheets>
  <definedNames>
    <definedName hidden="1" localSheetId="1" name="_xlnm._FilterDatabase">'🔑 Solution'!$A$1:$H$14</definedName>
  </definedNames>
  <calcPr/>
</workbook>
</file>

<file path=xl/sharedStrings.xml><?xml version="1.0" encoding="utf-8"?>
<sst xmlns="http://schemas.openxmlformats.org/spreadsheetml/2006/main" count="52" uniqueCount="35">
  <si>
    <t>Expense details</t>
  </si>
  <si>
    <t>Category</t>
  </si>
  <si>
    <t>Budget</t>
  </si>
  <si>
    <t>Cost</t>
  </si>
  <si>
    <t>Difference</t>
  </si>
  <si>
    <t>Transaction date</t>
  </si>
  <si>
    <t>Paid by</t>
  </si>
  <si>
    <t>Notes</t>
  </si>
  <si>
    <t>Building permit</t>
  </si>
  <si>
    <t>Permits</t>
  </si>
  <si>
    <t>Jan</t>
  </si>
  <si>
    <t>Consultation</t>
  </si>
  <si>
    <t>Design</t>
  </si>
  <si>
    <t>Magui</t>
  </si>
  <si>
    <t>Paint for living room</t>
  </si>
  <si>
    <t>Materials</t>
  </si>
  <si>
    <t>Sean</t>
  </si>
  <si>
    <t>Kitchen countertop polish</t>
  </si>
  <si>
    <t>Isabel</t>
  </si>
  <si>
    <t>New hammer</t>
  </si>
  <si>
    <t>Good quality</t>
  </si>
  <si>
    <t>Electrical outlet covers</t>
  </si>
  <si>
    <t>Joi</t>
  </si>
  <si>
    <t>Plants</t>
  </si>
  <si>
    <t>Bathroom mirror</t>
  </si>
  <si>
    <t>Plumbing repair</t>
  </si>
  <si>
    <t>Labor</t>
  </si>
  <si>
    <t>Asked our friend Vinny</t>
  </si>
  <si>
    <t>Whale-shaped soap holder</t>
  </si>
  <si>
    <t>Cute!</t>
  </si>
  <si>
    <t>Ceiling repair</t>
  </si>
  <si>
    <t>Door handles</t>
  </si>
  <si>
    <t>Light fixture</t>
  </si>
  <si>
    <t>Replacing kitchen light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</si>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</sst>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3" fontId="2" numFmtId="164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readingOrder="0" shrinkToFit="0" wrapText="0"/>
    </xf>
    <xf borderId="0" fillId="3" fontId="2" numFmtId="0" xfId="0" applyAlignment="1" applyFont="1">
      <alignment shrinkToFit="0" wrapText="0"/>
    </xf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4" fontId="2" numFmtId="164" xfId="0" applyAlignment="1" applyFont="1" applyNumberFormat="1">
      <alignment readingOrder="0" shrinkToFit="0" wrapText="0"/>
    </xf>
    <xf borderId="0" fillId="4" fontId="2" numFmtId="49" xfId="0" applyAlignment="1" applyFont="1" applyNumberFormat="1">
      <alignment readingOrder="0" shrinkToFit="0" wrapText="0"/>
    </xf>
    <xf borderId="0" fillId="4" fontId="2" numFmtId="0" xfId="0" applyAlignment="1" applyFont="1">
      <alignment shrinkToFit="0" wrapText="0"/>
    </xf>
    <xf borderId="1" fillId="3" fontId="2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wrapText="0"/>
    </xf>
    <xf borderId="1" fillId="3" fontId="2" numFmtId="164" xfId="0" applyAlignment="1" applyBorder="1" applyFont="1" applyNumberFormat="1">
      <alignment readingOrder="0" shrinkToFit="0" wrapText="0"/>
    </xf>
    <xf borderId="1" fillId="3" fontId="2" numFmtId="49" xfId="0" applyAlignment="1" applyBorder="1" applyFont="1" applyNumberForma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165" xfId="0" applyAlignment="1" applyFont="1" applyNumberFormat="1">
      <alignment readingOrder="0" shrinkToFit="0" wrapText="0"/>
    </xf>
    <xf borderId="0" fillId="4" fontId="1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6" max="6" width="14.25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6" max="6" width="15.75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>
        <v>150.0</v>
      </c>
      <c r="D2" s="4">
        <v>150.0</v>
      </c>
      <c r="E2" s="4">
        <f t="shared" ref="E2:E14" si="1">D2-C2</f>
        <v>0</v>
      </c>
      <c r="F2" s="5">
        <v>47904.0</v>
      </c>
      <c r="G2" s="6" t="s">
        <v>10</v>
      </c>
      <c r="H2" s="7"/>
    </row>
    <row r="3">
      <c r="A3" s="8" t="s">
        <v>11</v>
      </c>
      <c r="B3" s="9" t="s">
        <v>12</v>
      </c>
      <c r="C3" s="10">
        <v>300.0</v>
      </c>
      <c r="D3" s="10">
        <v>319.0</v>
      </c>
      <c r="E3" s="10">
        <f t="shared" si="1"/>
        <v>19</v>
      </c>
      <c r="F3" s="11">
        <v>47926.0</v>
      </c>
      <c r="G3" s="12" t="s">
        <v>13</v>
      </c>
      <c r="H3" s="13"/>
    </row>
    <row r="4">
      <c r="A4" s="2" t="s">
        <v>14</v>
      </c>
      <c r="B4" s="3" t="s">
        <v>15</v>
      </c>
      <c r="C4" s="4">
        <v>60.0</v>
      </c>
      <c r="D4" s="4">
        <v>65.99</v>
      </c>
      <c r="E4" s="4">
        <f t="shared" si="1"/>
        <v>5.99</v>
      </c>
      <c r="F4" s="5">
        <v>47980.0</v>
      </c>
      <c r="G4" s="3" t="s">
        <v>16</v>
      </c>
      <c r="H4" s="7"/>
    </row>
    <row r="5">
      <c r="A5" s="8" t="s">
        <v>17</v>
      </c>
      <c r="B5" s="9" t="s">
        <v>15</v>
      </c>
      <c r="C5" s="10">
        <v>25.0</v>
      </c>
      <c r="D5" s="10">
        <v>34.25</v>
      </c>
      <c r="E5" s="10">
        <f t="shared" si="1"/>
        <v>9.25</v>
      </c>
      <c r="F5" s="11">
        <v>48002.0</v>
      </c>
      <c r="G5" s="12" t="s">
        <v>18</v>
      </c>
      <c r="H5" s="13"/>
    </row>
    <row r="6">
      <c r="A6" s="2" t="s">
        <v>19</v>
      </c>
      <c r="B6" s="3" t="s">
        <v>15</v>
      </c>
      <c r="C6" s="4">
        <v>20.0</v>
      </c>
      <c r="D6" s="4">
        <v>21.25</v>
      </c>
      <c r="E6" s="4">
        <f t="shared" si="1"/>
        <v>1.25</v>
      </c>
      <c r="F6" s="5">
        <v>48031.0</v>
      </c>
      <c r="G6" s="6" t="s">
        <v>16</v>
      </c>
      <c r="H6" s="2" t="s">
        <v>20</v>
      </c>
    </row>
    <row r="7">
      <c r="A7" s="8" t="s">
        <v>21</v>
      </c>
      <c r="B7" s="9" t="s">
        <v>15</v>
      </c>
      <c r="C7" s="10">
        <v>15.0</v>
      </c>
      <c r="D7" s="10">
        <v>15.15</v>
      </c>
      <c r="E7" s="10">
        <f t="shared" si="1"/>
        <v>0.15</v>
      </c>
      <c r="F7" s="11">
        <v>48043.0</v>
      </c>
      <c r="G7" s="12" t="s">
        <v>22</v>
      </c>
      <c r="H7" s="13"/>
    </row>
    <row r="8">
      <c r="A8" s="2" t="s">
        <v>23</v>
      </c>
      <c r="B8" s="3" t="s">
        <v>15</v>
      </c>
      <c r="C8" s="4">
        <v>25.0</v>
      </c>
      <c r="D8" s="4">
        <v>45.03</v>
      </c>
      <c r="E8" s="4">
        <f t="shared" si="1"/>
        <v>20.03</v>
      </c>
      <c r="F8" s="5">
        <v>48043.0</v>
      </c>
      <c r="G8" s="6" t="s">
        <v>22</v>
      </c>
      <c r="H8" s="7"/>
    </row>
    <row r="9">
      <c r="A9" s="8" t="s">
        <v>24</v>
      </c>
      <c r="B9" s="9" t="s">
        <v>15</v>
      </c>
      <c r="C9" s="10">
        <v>80.0</v>
      </c>
      <c r="D9" s="10">
        <v>43.88</v>
      </c>
      <c r="E9" s="10">
        <f t="shared" si="1"/>
        <v>-36.12</v>
      </c>
      <c r="F9" s="11">
        <v>48043.0</v>
      </c>
      <c r="G9" s="12" t="s">
        <v>22</v>
      </c>
      <c r="H9" s="13"/>
    </row>
    <row r="10">
      <c r="A10" s="2" t="s">
        <v>25</v>
      </c>
      <c r="B10" s="3" t="s">
        <v>26</v>
      </c>
      <c r="C10" s="4">
        <v>650.0</v>
      </c>
      <c r="D10" s="4">
        <v>439.0</v>
      </c>
      <c r="E10" s="4">
        <f t="shared" si="1"/>
        <v>-211</v>
      </c>
      <c r="F10" s="5">
        <v>48065.0</v>
      </c>
      <c r="G10" s="6" t="s">
        <v>16</v>
      </c>
      <c r="H10" s="2" t="s">
        <v>27</v>
      </c>
    </row>
    <row r="11">
      <c r="A11" s="9" t="s">
        <v>28</v>
      </c>
      <c r="B11" s="9" t="s">
        <v>15</v>
      </c>
      <c r="C11" s="10">
        <v>15.0</v>
      </c>
      <c r="D11" s="10">
        <v>8.0</v>
      </c>
      <c r="E11" s="10">
        <f t="shared" si="1"/>
        <v>-7</v>
      </c>
      <c r="F11" s="11">
        <v>48065.0</v>
      </c>
      <c r="G11" s="12" t="s">
        <v>16</v>
      </c>
      <c r="H11" s="9" t="s">
        <v>29</v>
      </c>
    </row>
    <row r="12">
      <c r="A12" s="2" t="s">
        <v>30</v>
      </c>
      <c r="B12" s="3" t="s">
        <v>26</v>
      </c>
      <c r="C12" s="4">
        <v>400.0</v>
      </c>
      <c r="D12" s="4">
        <v>400.0</v>
      </c>
      <c r="E12" s="4">
        <f t="shared" si="1"/>
        <v>0</v>
      </c>
      <c r="F12" s="5">
        <v>48071.0</v>
      </c>
      <c r="G12" s="6" t="s">
        <v>10</v>
      </c>
      <c r="H12" s="7"/>
    </row>
    <row r="13">
      <c r="A13" s="8" t="s">
        <v>31</v>
      </c>
      <c r="B13" s="9" t="s">
        <v>15</v>
      </c>
      <c r="C13" s="10">
        <v>55.0</v>
      </c>
      <c r="D13" s="10">
        <v>58.0</v>
      </c>
      <c r="E13" s="10">
        <f t="shared" si="1"/>
        <v>3</v>
      </c>
      <c r="F13" s="11">
        <v>48106.0</v>
      </c>
      <c r="G13" s="12" t="s">
        <v>16</v>
      </c>
      <c r="H13" s="13"/>
    </row>
    <row r="14">
      <c r="A14" s="14" t="s">
        <v>32</v>
      </c>
      <c r="B14" s="15" t="s">
        <v>15</v>
      </c>
      <c r="C14" s="16">
        <v>80.0</v>
      </c>
      <c r="D14" s="16">
        <v>71.89</v>
      </c>
      <c r="E14" s="4">
        <f t="shared" si="1"/>
        <v>-8.11</v>
      </c>
      <c r="F14" s="17">
        <v>48141.0</v>
      </c>
      <c r="G14" s="18" t="s">
        <v>13</v>
      </c>
      <c r="H14" s="14" t="s">
        <v>33</v>
      </c>
    </row>
    <row r="15">
      <c r="A15" s="19" t="s">
        <v>34</v>
      </c>
      <c r="B15" s="20"/>
      <c r="C15" s="21">
        <f t="shared" ref="C15:E15" si="2">SUM(C1:C14)</f>
        <v>1875</v>
      </c>
      <c r="D15" s="21">
        <f t="shared" si="2"/>
        <v>1671.44</v>
      </c>
      <c r="E15" s="21">
        <f t="shared" si="2"/>
        <v>-203.56</v>
      </c>
      <c r="F15" s="20"/>
      <c r="G15" s="20"/>
      <c r="H15" s="22"/>
    </row>
  </sheetData>
  <autoFilter ref="$A$1:$H$14">
    <sortState ref="A1:H14">
      <sortCondition ref="F1:F14"/>
    </sortState>
  </autoFilter>
  <dataValidations>
    <dataValidation type="list" allowBlank="1" sqref="B2:B14">
      <formula1>"Materials,Permits,Design,Labor"</formula1>
    </dataValidation>
  </dataValidations>
  <drawing r:id="rId1"/>
</worksheet>
</file>